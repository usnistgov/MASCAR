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Hardware" sheetId="2" r:id="rId5"/>
    <sheet state="visible" name="Robot Control Handle" sheetId="3" r:id="rId6"/>
    <sheet state="visible" name="ForgeOS Modification" sheetId="4" r:id="rId7"/>
    <sheet state="visible" name="Computers and Peripherals" sheetId="5" r:id="rId8"/>
    <sheet state="visible" name="Markerless Motion Capture" sheetId="6" r:id="rId9"/>
    <sheet state="visible" name="Raspberry Pi Gripper Controller" sheetId="7" r:id="rId10"/>
    <sheet state="visible" name="Raspberry Pi Logger" sheetId="8" r:id="rId11"/>
    <sheet state="visible" name="Sensors" sheetId="9" r:id="rId12"/>
    <sheet state="visible" name="Task boards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waiting for official charge from shops
	-Megan Zimmerman</t>
      </text>
    </comment>
  </commentList>
</comments>
</file>

<file path=xl/sharedStrings.xml><?xml version="1.0" encoding="utf-8"?>
<sst xmlns="http://schemas.openxmlformats.org/spreadsheetml/2006/main" count="230" uniqueCount="157">
  <si>
    <t>Cost</t>
  </si>
  <si>
    <t>Hardware</t>
  </si>
  <si>
    <t>Robot Control Handle</t>
  </si>
  <si>
    <t>ForgeOS Modifications</t>
  </si>
  <si>
    <t>Computers</t>
  </si>
  <si>
    <t>Markerless Motion Capture</t>
  </si>
  <si>
    <t>RPi Gripper Controller</t>
  </si>
  <si>
    <t>RPi Robot Logger</t>
  </si>
  <si>
    <t>Sensors</t>
  </si>
  <si>
    <t>Task Boards</t>
  </si>
  <si>
    <t>Total</t>
  </si>
  <si>
    <t>Part number</t>
  </si>
  <si>
    <t>Item description</t>
  </si>
  <si>
    <t>Link</t>
  </si>
  <si>
    <t>Cost per unit</t>
  </si>
  <si>
    <t>Quantity</t>
  </si>
  <si>
    <t>Note</t>
  </si>
  <si>
    <t>Total cost:</t>
  </si>
  <si>
    <t>UR3-e</t>
  </si>
  <si>
    <t>Universal Robot UR3-E robot with 3kg lift capacity</t>
  </si>
  <si>
    <t>Forge/OS</t>
  </si>
  <si>
    <t>Robot controller interface with multi-robot support</t>
  </si>
  <si>
    <t>2-finger adaptive gripper</t>
  </si>
  <si>
    <t>Robotiq 85mm adaptive, 2-finger gripper for UR e-series robots</t>
  </si>
  <si>
    <t>Table base</t>
  </si>
  <si>
    <t>Wheeled workbench base with hand-crank for height adjustment</t>
  </si>
  <si>
    <t>https://www.mcmaster.com/3517T81/</t>
  </si>
  <si>
    <t>Table top V1</t>
  </si>
  <si>
    <t>1/2" thick plywood sheet, painted green, with a self-leveling epoxy finish to provide a level surface</t>
  </si>
  <si>
    <t>https://www.homedepot.com/p/ProWood-1-2-in-x-2-ft-x-4-ft-BCX-Sanded-Plywood-109119/202093833</t>
  </si>
  <si>
    <t>Price reflects only cost of the plywood sheet, and does not include the paint or epoxy resin</t>
  </si>
  <si>
    <t>Table top V2</t>
  </si>
  <si>
    <t>Machined aluminum table top with 6mm tapped holes for attaching parts and a pre-drilled mounting pattern for the e-series robot</t>
  </si>
  <si>
    <t>Machined at the NIST shops.  Price reflects material and labor costs.</t>
  </si>
  <si>
    <t>Table top V3</t>
  </si>
  <si>
    <t>Rack cabinet</t>
  </si>
  <si>
    <t>8U equipment rack cabinet</t>
  </si>
  <si>
    <r>
      <rPr>
        <rFont val="&quot;Times New Roman&quot;, serif"/>
        <color rgb="FF1155CC"/>
        <sz val="12.0"/>
        <u/>
      </rPr>
      <t>https://www.bhphotovideo.com/c/product/1260039-REG/auray_ers_8u_ers_8u_steel_equipment.html</t>
    </r>
  </si>
  <si>
    <t>Shelf material</t>
  </si>
  <si>
    <t>Shelf support</t>
  </si>
  <si>
    <t>GFW-ID-CREATORTREE</t>
  </si>
  <si>
    <t>A/V armatures</t>
  </si>
  <si>
    <r>
      <rPr>
        <rFont val="&quot;Times New Roman&quot;, serif"/>
        <color rgb="FF1155CC"/>
        <sz val="11.0"/>
        <u/>
      </rPr>
      <t>https://www.bhphotovideo.com/c/product/1657199-REG/gator_gfw_id_creatortree_frameworks_id_series_all_in_one.html</t>
    </r>
  </si>
  <si>
    <t>Ergotron 24206214</t>
  </si>
  <si>
    <t>Computer cart</t>
  </si>
  <si>
    <r>
      <rPr>
        <rFont val="&quot;Times New Roman&quot;, serif"/>
        <color rgb="FF1155CC"/>
        <sz val="12.0"/>
        <u/>
      </rPr>
      <t>https://www.bhphotovideo.com/c/product/1128696-REG/ergotron_neo_flex_24_206_214_lcd_cart.html</t>
    </r>
  </si>
  <si>
    <t>JB01741</t>
  </si>
  <si>
    <t>Tablet mount</t>
  </si>
  <si>
    <r>
      <rPr>
        <rFont val="&quot;Times New Roman&quot;, serif"/>
        <color rgb="FF1155CC"/>
        <sz val="11.0"/>
        <u/>
      </rPr>
      <t>https://www.bhphotovideo.com/c/product/1675875-REG/joby_jb01741_griptight_tablet_pro_2.html</t>
    </r>
  </si>
  <si>
    <t>955-000005</t>
  </si>
  <si>
    <t>Table-mounted camera stand</t>
  </si>
  <si>
    <t>https://www.bhphotovideo.com/c/product/1585609-REG/mevo_mv3_11a_bl_table_stand.html</t>
  </si>
  <si>
    <t>Neewer C-Stand with Extension Arm</t>
  </si>
  <si>
    <r>
      <rPr>
        <color rgb="FF1155CC"/>
        <u/>
      </rPr>
      <t>Neewer C-Stand with Extension Arm 66600020 B&amp;H Photo Video</t>
    </r>
  </si>
  <si>
    <t>Sandbags</t>
  </si>
  <si>
    <t>Neewer Heavy-Duty Sandbags for Light Stands, Boom Stands &amp; Tripods (6-Pack)</t>
  </si>
  <si>
    <r>
      <rPr>
        <color rgb="FF1155CC"/>
        <u/>
      </rPr>
      <t>Neewer Heavy-Duty Sandbags for Light Stands, Boom Stands</t>
    </r>
  </si>
  <si>
    <t>Floor cable trays</t>
  </si>
  <si>
    <t>Cable Concealment Ramp Track</t>
  </si>
  <si>
    <r>
      <rPr>
        <color rgb="FF1155CC"/>
        <u/>
      </rPr>
      <t>Auray CBR-1039 Cable Concealment Ramp Track CBR-1039 B&amp;H Photo</t>
    </r>
  </si>
  <si>
    <t>1/4-20 to 3/8-16 adapters</t>
  </si>
  <si>
    <t>M6 female to M4 male adapter</t>
  </si>
  <si>
    <t>Light panels</t>
  </si>
  <si>
    <t>Normally-open momentary switch</t>
  </si>
  <si>
    <t>https://a.co/d/glXAlmD</t>
  </si>
  <si>
    <t>Latching switches</t>
  </si>
  <si>
    <t>https://www.digikey.com/en/products/detail/cw-industries/GPB023B05BR/2235499</t>
  </si>
  <si>
    <t>Aluminum yoke structure</t>
  </si>
  <si>
    <t>Raw material.  Custom machined at NIST.</t>
  </si>
  <si>
    <t>Handles</t>
  </si>
  <si>
    <t>3D printed @NIST</t>
  </si>
  <si>
    <t>22 Gauge wire (for wiring the button)</t>
  </si>
  <si>
    <t>https://www.amazon.com/BINNEKER-Gauge-Electric-Tinned-Copper/dp/B0B19HJFPX/?th=1</t>
  </si>
  <si>
    <t>Sheathing</t>
  </si>
  <si>
    <t>LVDS to HDMI adapter</t>
  </si>
  <si>
    <t>https://geekworm.com/products/lvds-to-hdmi-adapter-board-converter-with-lvds-cable?variant=39521988771928</t>
  </si>
  <si>
    <t>https://geekworm.com/products/lvds2</t>
  </si>
  <si>
    <t>2073-05-40-D-0254-A-4-06-4-T-ND</t>
  </si>
  <si>
    <t>40-pin FPC ribbon cable</t>
  </si>
  <si>
    <t>https://mou.sr/3MWxTQ2</t>
  </si>
  <si>
    <t>1528-4905-ND</t>
  </si>
  <si>
    <t>40-pin FPC ribbon cable to 2x20 IDC adapter</t>
  </si>
  <si>
    <r>
      <rPr>
        <rFont val="&quot;Times New Roman&quot;, serif"/>
        <color rgb="FF1155CC"/>
        <sz val="11.0"/>
        <u/>
      </rPr>
      <t>https://mou.sr/47GDsMf</t>
    </r>
  </si>
  <si>
    <t>Dell Precision 5860</t>
  </si>
  <si>
    <t>Desktop computer</t>
  </si>
  <si>
    <t>Dell Latitude 7350</t>
  </si>
  <si>
    <t>Detachable tablet computer</t>
  </si>
  <si>
    <t>Monitor</t>
  </si>
  <si>
    <t>Keyboard</t>
  </si>
  <si>
    <t>Mouse</t>
  </si>
  <si>
    <t>BG-UHD-KVM41A</t>
  </si>
  <si>
    <t>BZBGEAR 4-Port HDMI KVM Switch</t>
  </si>
  <si>
    <t>https://www.bhphotovideo.com/c/product/1660951-REG/bzbgear_bg_uhd_kvm41a_4x1_kvm_switcher_with.html</t>
  </si>
  <si>
    <t>Networking switch</t>
  </si>
  <si>
    <t>Black Lion PG-2</t>
  </si>
  <si>
    <t>120VAC Power conditioner &amp; surge protector</t>
  </si>
  <si>
    <t>USB Audio Line In Adapter</t>
  </si>
  <si>
    <t>https://a.co/d/gPL7H8t</t>
  </si>
  <si>
    <t>Blackmagic Design ATEM Mini Extreme ISO</t>
  </si>
  <si>
    <t>Captury Studio</t>
  </si>
  <si>
    <t>Software for markerless motion capture</t>
  </si>
  <si>
    <t>Netgear M4300-16X</t>
  </si>
  <si>
    <t>16-port 10Gb POE Network Switch</t>
  </si>
  <si>
    <t>https://www.bhphotovideo.com/c/product/1711406-REG/netgear_xsm4316pa_100nes_m4300_16x_stackable_managed_switch.html</t>
  </si>
  <si>
    <t>25' 10G network cables</t>
  </si>
  <si>
    <t>https://www.amazon.com/Monoprice-Entegrade-Cat6a-Ethernet-Patch/dp/B00KWS6VIU/?th=1</t>
  </si>
  <si>
    <t>BFS-PGE-13Y3C-C</t>
  </si>
  <si>
    <t>1.3 MP POE Color Camera</t>
  </si>
  <si>
    <t>https://www.edmundoptics.com/p/bfs-pge-13y3c-c-poe-gige-blackflyr-s-color-camera/40198/</t>
  </si>
  <si>
    <t>33-307</t>
  </si>
  <si>
    <t>8mm C-mount lens</t>
  </si>
  <si>
    <t>https://www.edmundoptics.com/p/8mm-uc-series-fixed-focal-length-lens/41864/</t>
  </si>
  <si>
    <t>Modularhose.com purchase</t>
  </si>
  <si>
    <t>Raspberry Pi 3B</t>
  </si>
  <si>
    <t>https://www.adafruit.com/product/3055</t>
  </si>
  <si>
    <t>4GB MicroSD Card</t>
  </si>
  <si>
    <t>https://www.amazon.com/SanDisk-microSDHC-Memory-SDSDQ-004G-Packaging/dp/B00FM1JGHK/?th=1</t>
  </si>
  <si>
    <t>24VDC 10A power supply</t>
  </si>
  <si>
    <t>https://www.amazon.com/ALITOVE-Transformer-Universal-Regulated-Switching/dp/B078RYWZMH?th=1</t>
  </si>
  <si>
    <t>5V 3A micro USB power supply (for the Raspberry Pi)</t>
  </si>
  <si>
    <t>https://www.amazon.com/Listed-iUniker-Raspberry-Supply-Switch/dp/B0B79FVPQ4/</t>
  </si>
  <si>
    <t>7 inch touch display for raspberry pi</t>
  </si>
  <si>
    <t>https://www.digikey.com/en/products/detail/raspberry-pi/SC1227/6152806</t>
  </si>
  <si>
    <t>Raspberry Pi 5</t>
  </si>
  <si>
    <t>https://www.digikey.com/en/products/detail/raspberry-pi/SC1432/21658257</t>
  </si>
  <si>
    <t>Canon XA15</t>
  </si>
  <si>
    <t>Camcorder</t>
  </si>
  <si>
    <t>Dummy battery for constantly powering camcorders</t>
  </si>
  <si>
    <t>Power supply for camcorder batteries</t>
  </si>
  <si>
    <t>Senal MC24-ES</t>
  </si>
  <si>
    <t>Shotgun microphones for camcorders</t>
  </si>
  <si>
    <t>https://www.bhphotovideo.com/c/product/1171345-REG/senal_mc24_es_professional_shotgun_microphone.html/mode/gsa</t>
  </si>
  <si>
    <t xml:space="preserve">Sennheiser MKE 500 </t>
  </si>
  <si>
    <t>Shotgun microphone</t>
  </si>
  <si>
    <r>
      <rPr>
        <rFont val="&quot;Times New Roman&quot;, serif"/>
        <color rgb="FF1155CC"/>
        <sz val="11.0"/>
        <u/>
      </rPr>
      <t>https://www.bhphotovideo.com/c/product/878340-REG/Sennheiser_MKE_600_Shotgun.html</t>
    </r>
  </si>
  <si>
    <t>Infrared camera</t>
  </si>
  <si>
    <t>Microsoft Azure</t>
  </si>
  <si>
    <t>Intel RealSense</t>
  </si>
  <si>
    <t>RGBD camera</t>
  </si>
  <si>
    <t>https://www.digikey.com/en/products/detail/82635DSD455/2311-82635DSD455-ND/12429610</t>
  </si>
  <si>
    <t>AJA UTAP HDMI</t>
  </si>
  <si>
    <t>HDMI to USB3 capture device</t>
  </si>
  <si>
    <t>https://www.bhphotovideo.com/c/product/1248099-REG/aja_u_tap_hdmi_u_tap_usb_3_0_powered.html</t>
  </si>
  <si>
    <t>Optitrack Trio</t>
  </si>
  <si>
    <t>3-camera motion capture system</t>
  </si>
  <si>
    <t>Used for locating sensors in 6D space relative to the testbed table surface.  Use of the Trio is enabled through the OptiTrack Motive software, available at https://optitrack.com/software/motive/.</t>
  </si>
  <si>
    <t>HDMI Cables</t>
  </si>
  <si>
    <t>Laser pointers</t>
  </si>
  <si>
    <t>Laser pointer holders</t>
  </si>
  <si>
    <t>3D printed holder for the laser diode with extension cable</t>
  </si>
  <si>
    <t>Custom 3D-printed part.  Cost estimated.</t>
  </si>
  <si>
    <t>Tascam MIXCAST 4</t>
  </si>
  <si>
    <t>Microphone equalizer and USB adapter</t>
  </si>
  <si>
    <r>
      <rPr>
        <rFont val="&quot;Times New Roman&quot;, serif"/>
        <color rgb="FF1155CC"/>
        <sz val="11.0"/>
        <u/>
      </rPr>
      <t>https://www.bhphotovideo.com/c/product/1623233-REG/tascam_mixcast_4_mixcast4_podcast_mixer.html</t>
    </r>
  </si>
  <si>
    <t>Light meter</t>
  </si>
  <si>
    <r>
      <rPr>
        <rFont val="&quot;Times New Roman&quot;, serif"/>
        <color rgb="FF1155CC"/>
        <sz val="11.0"/>
        <u/>
      </rPr>
      <t>https://www.bhphotovideo.com/c/product/1219219-REG/sekonic_401_474_litemaster_pro_l_478d_u_light.html</t>
    </r>
  </si>
  <si>
    <t>Sound 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</si>
</sst>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sz val="12.0"/>
      <color rgb="FF0000FF"/>
      <name val="&quot;Times New Roman&quot;"/>
    </font>
    <font>
      <u/>
      <sz val="12.0"/>
      <color rgb="FF0000FF"/>
      <name val="Gulim"/>
    </font>
    <font>
      <sz val="11.0"/>
      <color theme="1"/>
      <name val="&quot;Times New Roman&quot;"/>
    </font>
    <font>
      <u/>
      <sz val="11.0"/>
      <color rgb="FF0000FF"/>
      <name val="&quot;Times New Roman&quot;"/>
    </font>
    <font>
      <u/>
      <sz val="11.0"/>
      <color rgb="FF0000FF"/>
      <name val="Arial"/>
    </font>
    <font>
      <u/>
      <color rgb="FF0000FF"/>
    </font>
    <font>
      <sz val="11.0"/>
      <color theme="1"/>
      <name val="&quot;Aptos Narrow&quot;"/>
    </font>
    <font>
      <u/>
      <color rgb="FF0000FF"/>
    </font>
    <font>
      <u/>
      <sz val="11.0"/>
      <color rgb="FF0000FF"/>
      <name val="Arial"/>
    </font>
    <font>
      <color theme="1"/>
      <name val="OpenSans"/>
    </font>
    <font>
      <u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0" xfId="0" applyFont="1"/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1" numFmtId="0" xfId="0" applyFont="1"/>
    <xf borderId="0" fillId="0" fontId="1" numFmtId="164" xfId="0" applyFont="1" applyNumberFormat="1"/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10" numFmtId="0" xfId="0" applyAlignment="1" applyFont="1">
      <alignment readingOrder="0"/>
    </xf>
    <xf borderId="2" fillId="0" fontId="11" numFmtId="164" xfId="0" applyAlignment="1" applyBorder="1" applyFont="1" applyNumberFormat="1">
      <alignment horizontal="right"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2" fillId="0" fontId="7" numFmtId="164" xfId="0" applyAlignment="1" applyBorder="1" applyFont="1" applyNumberFormat="1">
      <alignment horizontal="center" readingOrder="0" shrinkToFit="0" wrapText="1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2" fillId="0" fontId="7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4" fontId="1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1" numFmtId="0" xfId="0" applyFont="1"/>
    <xf borderId="0" fillId="0" fontId="15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hphotovideo.com/c/product/1585966-REG/auray_cbr_1039_cable_concealment_ramp_10.html" TargetMode="External"/><Relationship Id="rId10" Type="http://schemas.openxmlformats.org/officeDocument/2006/relationships/hyperlink" Target="https://www.bhphotovideo.com/c/product/1732696-REG/neewer_66600134_dual_handle_sandbag_6_pack.html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openxmlformats.org/officeDocument/2006/relationships/hyperlink" Target="https://www.mcmaster.com/3517T81/" TargetMode="External"/><Relationship Id="rId3" Type="http://schemas.openxmlformats.org/officeDocument/2006/relationships/hyperlink" Target="https://www.homedepot.com/p/ProWood-1-2-in-x-2-ft-x-4-ft-BCX-Sanded-Plywood-109119/202093833" TargetMode="External"/><Relationship Id="rId4" Type="http://schemas.openxmlformats.org/officeDocument/2006/relationships/hyperlink" Target="https://gcc02.safelinks.protection.outlook.com/?url=https%3A%2F%2Fwww.bhphotovideo.com%2Fc%2Fproduct%2F1260039-REG%2Fauray_ers_8u_ers_8u_steel_equipment.html&amp;data=05%7C02%7Cjeremy.marvel%40nist.gov%7C8a70c2e807d24624bdf508dcb7b5f86a%7C2ab5d82fd8fa4797a93e054655c61dec%7C0%7C0%7C638587239401287164%7CUnknown%7CTWFpbGZsb3d8eyJWIjoiMC4wLjAwMDAiLCJQIjoiV2luMzIiLCJBTiI6Ik1haWwiLCJXVCI6Mn0%3D%7C0%7C%7C%7C&amp;sdata=I7ndtSvuRs1DfnjR%2BAAj5Ye73haCj%2BB5qsWqe1t8JDo%3D&amp;reserved=0" TargetMode="External"/><Relationship Id="rId9" Type="http://schemas.openxmlformats.org/officeDocument/2006/relationships/hyperlink" Target="https://www.bhphotovideo.com/c/product/1732647-REG/neewer_66600020_pure_metal_pro_reflector.html" TargetMode="External"/><Relationship Id="rId5" Type="http://schemas.openxmlformats.org/officeDocument/2006/relationships/hyperlink" Target="https://gcc02.safelinks.protection.outlook.com/?url=https%3A%2F%2Fwww.bhphotovideo.com%2Fc%2Fproduct%2F1657199-REG%2Fgator_gfw_id_creatortree_frameworks_id_series_all_in_one.html&amp;data=05%7C02%7Cjeremy.marvel%40nist.gov%7C6c6fb45a7c5b489def4a08dca105836f%7C2ab5d82fd8fa4797a93e054655c61dec%7C0%7C0%7C638562292299295484%7CUnknown%7CTWFpbGZsb3d8eyJWIjoiMC4wLjAwMDAiLCJQIjoiV2luMzIiLCJBTiI6Ik1haWwiLCJXVCI6Mn0%3D%7C0%7C%7C%7C&amp;sdata=ZhD1fpJGyAFuhC%2Fz8OJXHJEBvmsOkrD%2FkW2wLXsQIWU%3D&amp;reserved=0" TargetMode="External"/><Relationship Id="rId6" Type="http://schemas.openxmlformats.org/officeDocument/2006/relationships/hyperlink" Target="https://gcc02.safelinks.protection.outlook.com/?url=https%3A%2F%2Fwww.bhphotovideo.com%2Fc%2Fproduct%2F1128696-REG%2Fergotron_neo_flex_24_206_214_lcd_cart.html&amp;data=05%7C02%7Cjeremy.marvel%40nist.gov%7C8a70c2e807d24624bdf508dcb7b5f86a%7C2ab5d82fd8fa4797a93e054655c61dec%7C0%7C0%7C638587239401310138%7CUnknown%7CTWFpbGZsb3d8eyJWIjoiMC4wLjAwMDAiLCJQIjoiV2luMzIiLCJBTiI6Ik1haWwiLCJXVCI6Mn0%3D%7C0%7C%7C%7C&amp;sdata=3MONYYWjRO2TG2tX3XFyCKvzXv9NmoyNGG%2BkLqIsvOE%3D&amp;reserved=0" TargetMode="External"/><Relationship Id="rId7" Type="http://schemas.openxmlformats.org/officeDocument/2006/relationships/hyperlink" Target="https://gcc02.safelinks.protection.outlook.com/?url=https%3A%2F%2Fwww.bhphotovideo.com%2Fc%2Fproduct%2F1675875-REG%2Fjoby_jb01741_griptight_tablet_pro_2.html&amp;data=05%7C02%7Cjeremy.marvel%40nist.gov%7C6c6fb45a7c5b489def4a08dca105836f%7C2ab5d82fd8fa4797a93e054655c61dec%7C0%7C0%7C638562292299306617%7CUnknown%7CTWFpbGZsb3d8eyJWIjoiMC4wLjAwMDAiLCJQIjoiV2luMzIiLCJBTiI6Ik1haWwiLCJXVCI6Mn0%3D%7C0%7C%7C%7C&amp;sdata=qrSLrYyHXaCkn%2FsrrE9%2BxoFlczHI1nVQicx%2FRgrFhsw%3D&amp;reserved=0" TargetMode="External"/><Relationship Id="rId8" Type="http://schemas.openxmlformats.org/officeDocument/2006/relationships/hyperlink" Target="https://gcc02.safelinks.protection.outlook.com/?url=https%3A%2F%2Fwww.bhphotovideo.com%2Fc%2Fproduct%2F1585609-REG%2Fmevo_mv3_11a_bl_table_stand.html&amp;data=05%7C02%7Cjeremy.marvel%40nist.gov%7C6c6fb45a7c5b489def4a08dca105836f%7C2ab5d82fd8fa4797a93e054655c61dec%7C0%7C0%7C638562292299300947%7CUnknown%7CTWFpbGZsb3d8eyJWIjoiMC4wLjAwMDAiLCJQIjoiV2luMzIiLCJBTiI6Ik1haWwiLCJXVCI6Mn0%3D%7C0%7C%7C%7C&amp;sdata=nuJQAYkPO8Kwk893zNW6RlB8zDsgskP7zuNX6EoHIvY%3D&amp;reserved=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.co/d/glXAlmD" TargetMode="External"/><Relationship Id="rId2" Type="http://schemas.openxmlformats.org/officeDocument/2006/relationships/hyperlink" Target="https://www.digikey.com/en/products/detail/cw-industries/GPB023B05BR/2235499" TargetMode="External"/><Relationship Id="rId3" Type="http://schemas.openxmlformats.org/officeDocument/2006/relationships/hyperlink" Target="https://www.amazon.com/BINNEKER-Gauge-Electric-Tinned-Copper/dp/B0B19HJFPX/?th=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eekworm.com/products/lvds-to-hdmi-adapter-board-converter-with-lvds-cable?variant=39521988771928" TargetMode="External"/><Relationship Id="rId2" Type="http://schemas.openxmlformats.org/officeDocument/2006/relationships/hyperlink" Target="https://geekworm.com/products/lvds2" TargetMode="External"/><Relationship Id="rId3" Type="http://schemas.openxmlformats.org/officeDocument/2006/relationships/hyperlink" Target="https://gcc02.safelinks.protection.outlook.com/?url=https%3A%2F%2Fmou.sr%2F3MWxTQ2&amp;data=05%7C02%7Cjeremy.marvel%40nist.gov%7C1f0f2a228c014396a5e908dcea1939d8%7C2ab5d82fd8fa4797a93e054655c61dec%7C0%7C0%7C638642641307608442%7CUnknown%7CTWFpbGZsb3d8eyJWIjoiMC4wLjAwMDAiLCJQIjoiV2luMzIiLCJBTiI6Ik1haWwiLCJXVCI6Mn0%3D%7C0%7C%7C%7C&amp;sdata=ZPcHgM3uURZvRBq0pJVF1n9lvKZ3jkuzUP7v6DrmNP8%3D&amp;reserved=0" TargetMode="External"/><Relationship Id="rId4" Type="http://schemas.openxmlformats.org/officeDocument/2006/relationships/hyperlink" Target="https://gcc02.safelinks.protection.outlook.com/?url=https%3A%2F%2Fmou.sr%2F47GDsMf&amp;data=05%7C02%7Cjeremy.marvel%40nist.gov%7C1f0f2a228c014396a5e908dcea1939d8%7C2ab5d82fd8fa4797a93e054655c61dec%7C0%7C0%7C638642641307590787%7CUnknown%7CTWFpbGZsb3d8eyJWIjoiMC4wLjAwMDAiLCJQIjoiV2luMzIiLCJBTiI6Ik1haWwiLCJXVCI6Mn0%3D%7C0%7C%7C%7C&amp;sdata=3qF6Qkhn20fz51lyw%2BjTCsy%2BqXZcIr2awmewXAOb7Rc%3D&amp;reserved=0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hphotovideo.com/c/product/1660951-REG/bzbgear_bg_uhd_kvm41a_4x1_kvm_switcher_with.html" TargetMode="External"/><Relationship Id="rId2" Type="http://schemas.openxmlformats.org/officeDocument/2006/relationships/hyperlink" Target="https://a.co/d/gPL7H8t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hphotovideo.com/c/product/1711406-REG/netgear_xsm4316pa_100nes_m4300_16x_stackable_managed_switch.html" TargetMode="External"/><Relationship Id="rId2" Type="http://schemas.openxmlformats.org/officeDocument/2006/relationships/hyperlink" Target="https://www.amazon.com/Monoprice-Entegrade-Cat6a-Ethernet-Patch/dp/B00KWS6VIU/?th=1" TargetMode="External"/><Relationship Id="rId3" Type="http://schemas.openxmlformats.org/officeDocument/2006/relationships/hyperlink" Target="https://www.edmundoptics.com/p/bfs-pge-13y3c-c-poe-gige-blackflyr-s-color-camera/40198/" TargetMode="External"/><Relationship Id="rId4" Type="http://schemas.openxmlformats.org/officeDocument/2006/relationships/hyperlink" Target="https://www.edmundoptics.com/p/8mm-uc-series-fixed-focal-length-lens/41864/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3055" TargetMode="External"/><Relationship Id="rId2" Type="http://schemas.openxmlformats.org/officeDocument/2006/relationships/hyperlink" Target="https://www.amazon.com/SanDisk-microSDHC-Memory-SDSDQ-004G-Packaging/dp/B00FM1JGHK/?th=1" TargetMode="External"/><Relationship Id="rId3" Type="http://schemas.openxmlformats.org/officeDocument/2006/relationships/hyperlink" Target="https://www.amazon.com/ALITOVE-Transformer-Universal-Regulated-Switching/dp/B078RYWZMH?th=1" TargetMode="External"/><Relationship Id="rId4" Type="http://schemas.openxmlformats.org/officeDocument/2006/relationships/hyperlink" Target="https://www.amazon.com/Listed-iUniker-Raspberry-Supply-Switch/dp/B0B79FVPQ4/" TargetMode="External"/><Relationship Id="rId5" Type="http://schemas.openxmlformats.org/officeDocument/2006/relationships/hyperlink" Target="https://www.amazon.com/BINNEKER-Gauge-Electric-Tinned-Copper/dp/B0B19HJFPX/?th=1" TargetMode="External"/><Relationship Id="rId6" Type="http://schemas.openxmlformats.org/officeDocument/2006/relationships/hyperlink" Target="https://www.digikey.com/en/products/detail/raspberry-pi/SC1227/6152806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raspberry-pi/SC1432/21658257" TargetMode="External"/><Relationship Id="rId2" Type="http://schemas.openxmlformats.org/officeDocument/2006/relationships/hyperlink" Target="https://www.amazon.com/SanDisk-microSDHC-Memory-SDSDQ-004G-Packaging/dp/B00FM1JGHK/?th=1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hphotovideo.com/c/product/1171345-REG/senal_mc24_es_professional_shotgun_microphone.html/mode/gsa" TargetMode="External"/><Relationship Id="rId2" Type="http://schemas.openxmlformats.org/officeDocument/2006/relationships/hyperlink" Target="https://gcc02.safelinks.protection.outlook.com/?url=https%3A%2F%2Fwww.bhphotovideo.com%2Fc%2Fproduct%2F878340-REG%2FSennheiser_MKE_600_Shotgun.html&amp;data=05%7C02%7Cjeremy.marvel%40nist.gov%7C6c6fb45a7c5b489def4a08dca105836f%7C2ab5d82fd8fa4797a93e054655c61dec%7C0%7C0%7C638562292299261942%7CUnknown%7CTWFpbGZsb3d8eyJWIjoiMC4wLjAwMDAiLCJQIjoiV2luMzIiLCJBTiI6Ik1haWwiLCJXVCI6Mn0%3D%7C0%7C%7C%7C&amp;sdata=AhClNQijoTzY5K4M6QTyIMO6XSDGJRGvI7IO255xU3s%3D&amp;reserved=0" TargetMode="External"/><Relationship Id="rId3" Type="http://schemas.openxmlformats.org/officeDocument/2006/relationships/hyperlink" Target="https://www.digikey.com/en/products/detail/82635DSD455/2311-82635DSD455-ND/12429610" TargetMode="External"/><Relationship Id="rId4" Type="http://schemas.openxmlformats.org/officeDocument/2006/relationships/hyperlink" Target="https://www.bhphotovideo.com/c/product/1248099-REG/aja_u_tap_hdmi_u_tap_usb_3_0_powered.html" TargetMode="External"/><Relationship Id="rId5" Type="http://schemas.openxmlformats.org/officeDocument/2006/relationships/hyperlink" Target="https://gcc02.safelinks.protection.outlook.com/?url=https%3A%2F%2Fwww.bhphotovideo.com%2Fc%2Fproduct%2F1623233-REG%2Ftascam_mixcast_4_mixcast4_podcast_mixer.html&amp;data=05%7C02%7Cjeremy.marvel%40nist.gov%7C6c6fb45a7c5b489def4a08dca105836f%7C2ab5d82fd8fa4797a93e054655c61dec%7C0%7C0%7C638562292299273698%7CUnknown%7CTWFpbGZsb3d8eyJWIjoiMC4wLjAwMDAiLCJQIjoiV2luMzIiLCJBTiI6Ik1haWwiLCJXVCI6Mn0%3D%7C0%7C%7C%7C&amp;sdata=s4m1xzag%2FtZ98y2OCSq5oV%2BInBJFUBmlMfj3DH2VUcI%3D&amp;reserved=0" TargetMode="External"/><Relationship Id="rId6" Type="http://schemas.openxmlformats.org/officeDocument/2006/relationships/hyperlink" Target="https://gcc02.safelinks.protection.outlook.com/?url=https%3A%2F%2Fwww.bhphotovideo.com%2Fc%2Fproduct%2F1219219-REG%2Fsekonic_401_474_litemaster_pro_l_478d_u_light.html&amp;data=05%7C02%7Cjeremy.marvel%40nist.gov%7C6c6fb45a7c5b489def4a08dca105836f%7C2ab5d82fd8fa4797a93e054655c61dec%7C0%7C0%7C638562292299290047%7CUnknown%7CTWFpbGZsb3d8eyJWIjoiMC4wLjAwMDAiLCJQIjoiV2luMzIiLCJBTiI6Ik1haWwiLCJXVCI6Mn0%3D%7C0%7C%7C%7C&amp;sdata=WTGw6Sj%2FuhP3AN5%2FqlaDFWD78kXCXuLhWtVOZT4os%2BQ%3D&amp;reserved=0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B1" s="1" t="s">
        <v>0</v>
      </c>
    </row>
    <row r="2">
      <c r="A2" s="1" t="s">
        <v>1</v>
      </c>
      <c r="B2" s="2">
        <f>Hardware!J1</f>
        <v>51764.27</v>
      </c>
    </row>
    <row r="3">
      <c r="A3" s="1" t="s">
        <v>2</v>
      </c>
      <c r="B3" s="2">
        <f>'Robot Control Handle'!J1</f>
        <v>34.55</v>
      </c>
    </row>
    <row r="4">
      <c r="A4" s="1" t="s">
        <v>3</v>
      </c>
      <c r="B4" s="2">
        <f>'ForgeOS Modification'!J1</f>
        <v>78.43</v>
      </c>
    </row>
    <row r="5">
      <c r="A5" s="1" t="s">
        <v>4</v>
      </c>
      <c r="B5" s="2">
        <f>'Computers and Peripherals'!J1</f>
        <v>41152.63</v>
      </c>
    </row>
    <row r="6">
      <c r="A6" s="1" t="s">
        <v>5</v>
      </c>
      <c r="B6" s="2">
        <f>'Markerless Motion Capture'!J1</f>
        <v>33273.62</v>
      </c>
    </row>
    <row r="7">
      <c r="A7" s="1" t="s">
        <v>6</v>
      </c>
      <c r="B7" s="2">
        <f>'Raspberry Pi Gripper Controller'!J1</f>
        <v>151.67</v>
      </c>
    </row>
    <row r="8">
      <c r="A8" s="1" t="s">
        <v>7</v>
      </c>
      <c r="B8" s="2">
        <f>'Raspberry Pi Logger'!J1</f>
        <v>88.49</v>
      </c>
    </row>
    <row r="9">
      <c r="A9" s="1" t="s">
        <v>8</v>
      </c>
      <c r="B9" s="3">
        <f>Sensors!J1</f>
        <v>9324.57</v>
      </c>
    </row>
    <row r="10">
      <c r="A10" s="4" t="s">
        <v>9</v>
      </c>
      <c r="B10" s="5">
        <f>'Task boards'!J1</f>
        <v>0</v>
      </c>
    </row>
    <row r="11">
      <c r="A11" s="1" t="s">
        <v>10</v>
      </c>
      <c r="B11" s="2">
        <f>SUM(B2:B10)</f>
        <v>135868.23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8.75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SUM(F2:F63)</f>
        <v>51764.27</v>
      </c>
    </row>
    <row r="2">
      <c r="A2" s="1" t="s">
        <v>18</v>
      </c>
      <c r="B2" s="1" t="s">
        <v>19</v>
      </c>
      <c r="C2" s="6"/>
      <c r="D2" s="7">
        <v>26995.0</v>
      </c>
      <c r="E2" s="1">
        <v>1.0</v>
      </c>
      <c r="F2" s="2">
        <f t="shared" ref="F2:F32" si="1">D2*E2</f>
        <v>26995</v>
      </c>
    </row>
    <row r="3">
      <c r="A3" s="1" t="s">
        <v>20</v>
      </c>
      <c r="B3" s="1" t="s">
        <v>21</v>
      </c>
      <c r="C3" s="6"/>
      <c r="D3" s="7">
        <v>9750.0</v>
      </c>
      <c r="E3" s="1">
        <v>1.0</v>
      </c>
      <c r="F3" s="2">
        <f t="shared" si="1"/>
        <v>9750</v>
      </c>
    </row>
    <row r="4">
      <c r="A4" s="1" t="s">
        <v>22</v>
      </c>
      <c r="B4" s="1" t="s">
        <v>23</v>
      </c>
      <c r="C4" s="6"/>
      <c r="D4" s="7">
        <v>5885.0</v>
      </c>
      <c r="E4" s="1">
        <v>1.0</v>
      </c>
      <c r="F4" s="2">
        <f t="shared" si="1"/>
        <v>5885</v>
      </c>
    </row>
    <row r="5">
      <c r="A5" s="1" t="s">
        <v>24</v>
      </c>
      <c r="B5" s="1" t="s">
        <v>25</v>
      </c>
      <c r="C5" s="8" t="s">
        <v>26</v>
      </c>
      <c r="D5" s="7">
        <v>1771.25</v>
      </c>
      <c r="E5" s="1">
        <v>1.0</v>
      </c>
      <c r="F5" s="2">
        <f t="shared" si="1"/>
        <v>1771.25</v>
      </c>
    </row>
    <row r="6">
      <c r="A6" s="9" t="s">
        <v>27</v>
      </c>
      <c r="B6" s="9" t="s">
        <v>28</v>
      </c>
      <c r="C6" s="10" t="s">
        <v>29</v>
      </c>
      <c r="D6" s="11">
        <v>21.23</v>
      </c>
      <c r="E6" s="9">
        <v>1.0</v>
      </c>
      <c r="F6" s="12">
        <f t="shared" si="1"/>
        <v>21.23</v>
      </c>
      <c r="G6" s="9" t="s">
        <v>30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4" t="s">
        <v>31</v>
      </c>
      <c r="B7" s="15" t="s">
        <v>32</v>
      </c>
      <c r="C7" s="16"/>
      <c r="D7" s="17">
        <v>4912.0</v>
      </c>
      <c r="E7" s="18">
        <v>1.0</v>
      </c>
      <c r="F7" s="19">
        <f t="shared" si="1"/>
        <v>4912</v>
      </c>
      <c r="G7" s="15" t="s">
        <v>33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20" t="s">
        <v>34</v>
      </c>
      <c r="B8" s="21" t="s">
        <v>32</v>
      </c>
      <c r="C8" s="22"/>
      <c r="D8" s="23"/>
      <c r="E8" s="24">
        <v>1.0</v>
      </c>
      <c r="F8" s="25">
        <f t="shared" si="1"/>
        <v>0</v>
      </c>
      <c r="G8" s="21" t="s">
        <v>33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" t="s">
        <v>35</v>
      </c>
      <c r="B9" s="1" t="s">
        <v>36</v>
      </c>
      <c r="C9" s="27" t="s">
        <v>37</v>
      </c>
      <c r="D9" s="7">
        <v>139.95</v>
      </c>
      <c r="E9" s="1">
        <v>1.0</v>
      </c>
      <c r="F9" s="2">
        <f t="shared" si="1"/>
        <v>139.95</v>
      </c>
    </row>
    <row r="10">
      <c r="A10" s="1" t="s">
        <v>38</v>
      </c>
      <c r="C10" s="28"/>
      <c r="D10" s="29"/>
      <c r="E10" s="1">
        <v>2.0</v>
      </c>
      <c r="F10" s="2">
        <f t="shared" si="1"/>
        <v>0</v>
      </c>
    </row>
    <row r="11">
      <c r="A11" s="1" t="s">
        <v>39</v>
      </c>
      <c r="C11" s="28"/>
      <c r="D11" s="29"/>
      <c r="E11" s="1">
        <v>3.0</v>
      </c>
      <c r="F11" s="2">
        <f t="shared" si="1"/>
        <v>0</v>
      </c>
    </row>
    <row r="12">
      <c r="A12" s="9" t="s">
        <v>40</v>
      </c>
      <c r="B12" s="9" t="s">
        <v>41</v>
      </c>
      <c r="C12" s="30" t="s">
        <v>42</v>
      </c>
      <c r="D12" s="11">
        <v>208.41</v>
      </c>
      <c r="E12" s="9">
        <v>2.0</v>
      </c>
      <c r="F12" s="12">
        <f t="shared" si="1"/>
        <v>416.82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" t="s">
        <v>43</v>
      </c>
      <c r="B13" s="1" t="s">
        <v>44</v>
      </c>
      <c r="C13" s="27" t="s">
        <v>45</v>
      </c>
      <c r="D13" s="7">
        <v>1075.0</v>
      </c>
      <c r="E13" s="1">
        <v>1.0</v>
      </c>
      <c r="F13" s="2">
        <f t="shared" si="1"/>
        <v>1075</v>
      </c>
    </row>
    <row r="14">
      <c r="A14" s="31" t="s">
        <v>46</v>
      </c>
      <c r="B14" s="1" t="s">
        <v>47</v>
      </c>
      <c r="C14" s="32" t="s">
        <v>48</v>
      </c>
      <c r="D14" s="7">
        <v>48.66</v>
      </c>
      <c r="E14" s="1">
        <v>1.0</v>
      </c>
      <c r="F14" s="2">
        <f t="shared" si="1"/>
        <v>48.66</v>
      </c>
    </row>
    <row r="15">
      <c r="A15" s="33" t="s">
        <v>49</v>
      </c>
      <c r="B15" s="9" t="s">
        <v>50</v>
      </c>
      <c r="C15" s="34" t="s">
        <v>51</v>
      </c>
      <c r="D15" s="11">
        <v>65.99</v>
      </c>
      <c r="E15" s="9">
        <v>1.0</v>
      </c>
      <c r="F15" s="12">
        <f t="shared" si="1"/>
        <v>65.99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" t="s">
        <v>52</v>
      </c>
      <c r="C16" s="35" t="s">
        <v>53</v>
      </c>
      <c r="D16" s="36">
        <v>102.34</v>
      </c>
      <c r="E16" s="1">
        <v>5.0</v>
      </c>
      <c r="F16" s="2">
        <f t="shared" si="1"/>
        <v>511.7</v>
      </c>
    </row>
    <row r="17">
      <c r="A17" s="1" t="s">
        <v>54</v>
      </c>
      <c r="B17" s="37" t="s">
        <v>55</v>
      </c>
      <c r="C17" s="35" t="s">
        <v>56</v>
      </c>
      <c r="D17" s="7">
        <v>25.47</v>
      </c>
      <c r="E17" s="1">
        <v>1.0</v>
      </c>
      <c r="F17" s="2">
        <f t="shared" si="1"/>
        <v>25.47</v>
      </c>
    </row>
    <row r="18">
      <c r="C18" s="28"/>
      <c r="D18" s="29"/>
      <c r="E18" s="1">
        <v>10.0</v>
      </c>
      <c r="F18" s="2">
        <f t="shared" si="1"/>
        <v>0</v>
      </c>
    </row>
    <row r="19">
      <c r="A19" s="1" t="s">
        <v>57</v>
      </c>
      <c r="B19" s="1" t="s">
        <v>58</v>
      </c>
      <c r="C19" s="35" t="s">
        <v>59</v>
      </c>
      <c r="D19" s="7">
        <v>29.24</v>
      </c>
      <c r="E19" s="1">
        <v>5.0</v>
      </c>
      <c r="F19" s="2">
        <f t="shared" si="1"/>
        <v>146.2</v>
      </c>
    </row>
    <row r="20">
      <c r="C20" s="28"/>
      <c r="D20" s="29"/>
      <c r="F20" s="2">
        <f t="shared" si="1"/>
        <v>0</v>
      </c>
    </row>
    <row r="21">
      <c r="C21" s="28"/>
      <c r="D21" s="29"/>
      <c r="F21" s="2">
        <f t="shared" si="1"/>
        <v>0</v>
      </c>
    </row>
    <row r="22">
      <c r="C22" s="28"/>
      <c r="D22" s="29"/>
      <c r="F22" s="2">
        <f t="shared" si="1"/>
        <v>0</v>
      </c>
    </row>
    <row r="23">
      <c r="C23" s="28"/>
      <c r="D23" s="29"/>
      <c r="F23" s="2">
        <f t="shared" si="1"/>
        <v>0</v>
      </c>
    </row>
    <row r="24">
      <c r="A24" s="1" t="s">
        <v>60</v>
      </c>
      <c r="C24" s="28"/>
      <c r="D24" s="29"/>
      <c r="F24" s="2">
        <f t="shared" si="1"/>
        <v>0</v>
      </c>
    </row>
    <row r="25">
      <c r="A25" s="1" t="s">
        <v>61</v>
      </c>
      <c r="C25" s="28"/>
      <c r="D25" s="29"/>
      <c r="F25" s="2">
        <f t="shared" si="1"/>
        <v>0</v>
      </c>
    </row>
    <row r="26">
      <c r="C26" s="28"/>
      <c r="D26" s="29"/>
      <c r="F26" s="2">
        <f t="shared" si="1"/>
        <v>0</v>
      </c>
    </row>
    <row r="27">
      <c r="B27" s="1" t="s">
        <v>62</v>
      </c>
      <c r="C27" s="28"/>
      <c r="D27" s="29"/>
      <c r="F27" s="2">
        <f t="shared" si="1"/>
        <v>0</v>
      </c>
    </row>
    <row r="28">
      <c r="C28" s="28"/>
      <c r="D28" s="29"/>
      <c r="F28" s="2">
        <f t="shared" si="1"/>
        <v>0</v>
      </c>
    </row>
    <row r="29">
      <c r="C29" s="28"/>
      <c r="D29" s="29"/>
      <c r="F29" s="2">
        <f t="shared" si="1"/>
        <v>0</v>
      </c>
    </row>
    <row r="30">
      <c r="C30" s="28"/>
      <c r="D30" s="29"/>
      <c r="F30" s="2">
        <f t="shared" si="1"/>
        <v>0</v>
      </c>
    </row>
    <row r="31">
      <c r="C31" s="28"/>
      <c r="D31" s="29"/>
      <c r="F31" s="2">
        <f t="shared" si="1"/>
        <v>0</v>
      </c>
    </row>
    <row r="32">
      <c r="C32" s="28"/>
      <c r="D32" s="29"/>
      <c r="F32" s="2">
        <f t="shared" si="1"/>
        <v>0</v>
      </c>
    </row>
    <row r="33">
      <c r="C33" s="28"/>
      <c r="D33" s="29"/>
    </row>
    <row r="34">
      <c r="C34" s="28"/>
      <c r="D34" s="29"/>
    </row>
    <row r="35">
      <c r="C35" s="28"/>
      <c r="D35" s="29"/>
    </row>
    <row r="36">
      <c r="C36" s="28"/>
      <c r="D36" s="29"/>
    </row>
    <row r="37">
      <c r="C37" s="28"/>
    </row>
  </sheetData>
  <hyperlinks>
    <hyperlink r:id="rId2" ref="C5"/>
    <hyperlink r:id="rId3" ref="C6"/>
    <hyperlink r:id="rId4" ref="C9"/>
    <hyperlink r:id="rId5" ref="C12"/>
    <hyperlink r:id="rId6" ref="C13"/>
    <hyperlink r:id="rId7" ref="C14"/>
    <hyperlink r:id="rId8" ref="C15"/>
    <hyperlink r:id="rId9" ref="C16"/>
    <hyperlink r:id="rId10" ref="C17"/>
    <hyperlink r:id="rId11" ref="C19"/>
  </hyperlinks>
  <drawing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SUM(F2:F61)</f>
        <v>34.55</v>
      </c>
    </row>
    <row r="2">
      <c r="B2" s="1" t="s">
        <v>63</v>
      </c>
      <c r="C2" s="35" t="s">
        <v>64</v>
      </c>
      <c r="D2" s="38">
        <v>11.49</v>
      </c>
      <c r="E2" s="1">
        <v>1.0</v>
      </c>
      <c r="F2" s="2">
        <f t="shared" ref="F2:F11" si="1">D2*E2</f>
        <v>11.49</v>
      </c>
      <c r="L2" s="39"/>
    </row>
    <row r="3">
      <c r="B3" s="1" t="s">
        <v>65</v>
      </c>
      <c r="C3" s="40" t="s">
        <v>66</v>
      </c>
      <c r="D3" s="38">
        <v>3.93</v>
      </c>
      <c r="E3" s="1">
        <v>2.0</v>
      </c>
      <c r="F3" s="2">
        <f t="shared" si="1"/>
        <v>7.86</v>
      </c>
      <c r="L3" s="39"/>
    </row>
    <row r="4">
      <c r="A4" s="41"/>
      <c r="B4" s="1" t="s">
        <v>67</v>
      </c>
      <c r="D4" s="38">
        <v>0.0</v>
      </c>
      <c r="E4" s="1">
        <v>1.0</v>
      </c>
      <c r="F4" s="2">
        <f t="shared" si="1"/>
        <v>0</v>
      </c>
      <c r="G4" s="1" t="s">
        <v>68</v>
      </c>
      <c r="L4" s="42"/>
    </row>
    <row r="5">
      <c r="B5" s="1" t="s">
        <v>69</v>
      </c>
      <c r="C5" s="43"/>
      <c r="D5" s="38">
        <v>0.0</v>
      </c>
      <c r="E5" s="1">
        <v>1.0</v>
      </c>
      <c r="F5" s="2">
        <f t="shared" si="1"/>
        <v>0</v>
      </c>
      <c r="G5" s="1" t="s">
        <v>70</v>
      </c>
      <c r="L5" s="39"/>
    </row>
    <row r="6">
      <c r="B6" s="1" t="s">
        <v>71</v>
      </c>
      <c r="C6" s="40" t="s">
        <v>72</v>
      </c>
      <c r="D6" s="38">
        <v>15.2</v>
      </c>
      <c r="E6" s="1">
        <v>1.0</v>
      </c>
      <c r="F6" s="2">
        <f t="shared" si="1"/>
        <v>15.2</v>
      </c>
      <c r="L6" s="39"/>
    </row>
    <row r="7">
      <c r="B7" s="1" t="s">
        <v>73</v>
      </c>
      <c r="C7" s="43"/>
      <c r="D7" s="38">
        <v>0.0</v>
      </c>
      <c r="E7" s="1">
        <v>1.0</v>
      </c>
      <c r="F7" s="2">
        <f t="shared" si="1"/>
        <v>0</v>
      </c>
      <c r="L7" s="42"/>
    </row>
    <row r="8">
      <c r="D8" s="38">
        <v>0.0</v>
      </c>
      <c r="E8" s="1">
        <v>1.0</v>
      </c>
      <c r="F8" s="2">
        <f t="shared" si="1"/>
        <v>0</v>
      </c>
    </row>
    <row r="9">
      <c r="D9" s="2"/>
      <c r="E9" s="1">
        <v>1.0</v>
      </c>
      <c r="F9" s="2">
        <f t="shared" si="1"/>
        <v>0</v>
      </c>
    </row>
    <row r="10">
      <c r="D10" s="2"/>
      <c r="E10" s="1">
        <v>1.0</v>
      </c>
      <c r="F10" s="2">
        <f t="shared" si="1"/>
        <v>0</v>
      </c>
    </row>
    <row r="11">
      <c r="D11" s="2"/>
      <c r="F11" s="2">
        <f t="shared" si="1"/>
        <v>0</v>
      </c>
    </row>
  </sheetData>
  <hyperlinks>
    <hyperlink r:id="rId1" ref="C2"/>
    <hyperlink r:id="rId2" ref="C3"/>
    <hyperlink r:id="rId3" ref="C6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38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SUM(F2:F61)</f>
        <v>78.43</v>
      </c>
    </row>
    <row r="2">
      <c r="B2" s="1" t="s">
        <v>74</v>
      </c>
      <c r="C2" s="35" t="s">
        <v>75</v>
      </c>
      <c r="D2" s="38">
        <v>35.0</v>
      </c>
      <c r="E2" s="1">
        <v>1.0</v>
      </c>
      <c r="F2" s="2">
        <f t="shared" ref="F2:F34" si="1">D2*E2</f>
        <v>35</v>
      </c>
    </row>
    <row r="3">
      <c r="B3" s="1" t="s">
        <v>74</v>
      </c>
      <c r="C3" s="35" t="s">
        <v>76</v>
      </c>
      <c r="D3" s="38">
        <v>35.0</v>
      </c>
      <c r="E3" s="1">
        <v>1.0</v>
      </c>
      <c r="F3" s="2">
        <f t="shared" si="1"/>
        <v>35</v>
      </c>
    </row>
    <row r="4">
      <c r="A4" s="1" t="s">
        <v>77</v>
      </c>
      <c r="B4" s="1" t="s">
        <v>78</v>
      </c>
      <c r="C4" s="44" t="s">
        <v>79</v>
      </c>
      <c r="D4" s="38">
        <v>1.43</v>
      </c>
      <c r="E4" s="1">
        <v>1.0</v>
      </c>
      <c r="F4" s="2">
        <f t="shared" si="1"/>
        <v>1.43</v>
      </c>
    </row>
    <row r="5">
      <c r="A5" s="1" t="s">
        <v>80</v>
      </c>
      <c r="B5" s="1" t="s">
        <v>81</v>
      </c>
      <c r="C5" s="32" t="s">
        <v>82</v>
      </c>
      <c r="D5" s="38">
        <v>3.5</v>
      </c>
      <c r="E5" s="1">
        <v>2.0</v>
      </c>
      <c r="F5" s="2">
        <f t="shared" si="1"/>
        <v>7</v>
      </c>
    </row>
    <row r="6">
      <c r="D6" s="2"/>
      <c r="F6" s="2">
        <f t="shared" si="1"/>
        <v>0</v>
      </c>
    </row>
    <row r="7">
      <c r="D7" s="2"/>
      <c r="F7" s="2">
        <f t="shared" si="1"/>
        <v>0</v>
      </c>
    </row>
    <row r="8">
      <c r="D8" s="2"/>
      <c r="F8" s="2">
        <f t="shared" si="1"/>
        <v>0</v>
      </c>
    </row>
    <row r="9">
      <c r="D9" s="2"/>
      <c r="F9" s="2">
        <f t="shared" si="1"/>
        <v>0</v>
      </c>
    </row>
    <row r="10">
      <c r="D10" s="2"/>
      <c r="F10" s="2">
        <f t="shared" si="1"/>
        <v>0</v>
      </c>
    </row>
    <row r="11">
      <c r="D11" s="2"/>
      <c r="F11" s="2">
        <f t="shared" si="1"/>
        <v>0</v>
      </c>
    </row>
    <row r="12">
      <c r="D12" s="2"/>
      <c r="F12" s="2">
        <f t="shared" si="1"/>
        <v>0</v>
      </c>
    </row>
    <row r="13">
      <c r="D13" s="2"/>
      <c r="F13" s="2">
        <f t="shared" si="1"/>
        <v>0</v>
      </c>
    </row>
    <row r="14">
      <c r="D14" s="2"/>
      <c r="F14" s="2">
        <f t="shared" si="1"/>
        <v>0</v>
      </c>
    </row>
    <row r="15">
      <c r="D15" s="2"/>
      <c r="F15" s="2">
        <f t="shared" si="1"/>
        <v>0</v>
      </c>
    </row>
    <row r="16">
      <c r="D16" s="2"/>
      <c r="F16" s="2">
        <f t="shared" si="1"/>
        <v>0</v>
      </c>
    </row>
    <row r="17">
      <c r="D17" s="2"/>
      <c r="F17" s="2">
        <f t="shared" si="1"/>
        <v>0</v>
      </c>
    </row>
    <row r="18">
      <c r="D18" s="2"/>
      <c r="F18" s="2">
        <f t="shared" si="1"/>
        <v>0</v>
      </c>
    </row>
    <row r="19">
      <c r="D19" s="2"/>
      <c r="F19" s="2">
        <f t="shared" si="1"/>
        <v>0</v>
      </c>
    </row>
    <row r="20">
      <c r="D20" s="2"/>
      <c r="F20" s="2">
        <f t="shared" si="1"/>
        <v>0</v>
      </c>
    </row>
    <row r="21">
      <c r="D21" s="2"/>
      <c r="F21" s="2">
        <f t="shared" si="1"/>
        <v>0</v>
      </c>
    </row>
    <row r="22">
      <c r="D22" s="2"/>
      <c r="F22" s="2">
        <f t="shared" si="1"/>
        <v>0</v>
      </c>
    </row>
    <row r="23">
      <c r="D23" s="2"/>
      <c r="F23" s="2">
        <f t="shared" si="1"/>
        <v>0</v>
      </c>
    </row>
    <row r="24">
      <c r="D24" s="2"/>
      <c r="F24" s="2">
        <f t="shared" si="1"/>
        <v>0</v>
      </c>
    </row>
    <row r="25">
      <c r="D25" s="2"/>
      <c r="F25" s="2">
        <f t="shared" si="1"/>
        <v>0</v>
      </c>
    </row>
    <row r="26">
      <c r="D26" s="2"/>
      <c r="F26" s="2">
        <f t="shared" si="1"/>
        <v>0</v>
      </c>
    </row>
    <row r="27">
      <c r="D27" s="2"/>
      <c r="F27" s="2">
        <f t="shared" si="1"/>
        <v>0</v>
      </c>
    </row>
    <row r="28">
      <c r="D28" s="2"/>
      <c r="F28" s="2">
        <f t="shared" si="1"/>
        <v>0</v>
      </c>
    </row>
    <row r="29">
      <c r="D29" s="2"/>
      <c r="F29" s="2">
        <f t="shared" si="1"/>
        <v>0</v>
      </c>
    </row>
    <row r="30">
      <c r="D30" s="2"/>
      <c r="F30" s="2">
        <f t="shared" si="1"/>
        <v>0</v>
      </c>
    </row>
    <row r="31">
      <c r="D31" s="2"/>
      <c r="F31" s="2">
        <f t="shared" si="1"/>
        <v>0</v>
      </c>
    </row>
    <row r="32">
      <c r="D32" s="2"/>
      <c r="F32" s="2">
        <f t="shared" si="1"/>
        <v>0</v>
      </c>
    </row>
    <row r="33">
      <c r="D33" s="2"/>
      <c r="F33" s="2">
        <f t="shared" si="1"/>
        <v>0</v>
      </c>
    </row>
    <row r="34">
      <c r="D34" s="2"/>
      <c r="F34" s="2">
        <f t="shared" si="1"/>
        <v>0</v>
      </c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27.5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SUM(F2:F13)</f>
        <v>41152.63</v>
      </c>
    </row>
    <row r="2">
      <c r="A2" s="1" t="s">
        <v>83</v>
      </c>
      <c r="B2" s="1" t="s">
        <v>84</v>
      </c>
      <c r="D2" s="38">
        <v>12367.78</v>
      </c>
      <c r="E2" s="1">
        <v>3.0</v>
      </c>
      <c r="F2" s="2">
        <f t="shared" ref="F2:F12" si="1">D2*E2</f>
        <v>37103.34</v>
      </c>
    </row>
    <row r="3">
      <c r="A3" s="1" t="s">
        <v>85</v>
      </c>
      <c r="B3" s="1" t="s">
        <v>86</v>
      </c>
      <c r="D3" s="38">
        <v>2315.02</v>
      </c>
      <c r="E3" s="1">
        <v>1.0</v>
      </c>
      <c r="F3" s="2">
        <f t="shared" si="1"/>
        <v>2315.02</v>
      </c>
    </row>
    <row r="4">
      <c r="A4" s="1"/>
      <c r="D4" s="2"/>
      <c r="E4" s="1">
        <v>1.0</v>
      </c>
      <c r="F4" s="2">
        <f t="shared" si="1"/>
        <v>0</v>
      </c>
    </row>
    <row r="5">
      <c r="A5" s="1" t="s">
        <v>87</v>
      </c>
      <c r="D5" s="2"/>
      <c r="E5" s="1">
        <v>1.0</v>
      </c>
      <c r="F5" s="2">
        <f t="shared" si="1"/>
        <v>0</v>
      </c>
    </row>
    <row r="6">
      <c r="A6" s="1" t="s">
        <v>88</v>
      </c>
      <c r="D6" s="2"/>
      <c r="E6" s="1">
        <v>1.0</v>
      </c>
      <c r="F6" s="2">
        <f t="shared" si="1"/>
        <v>0</v>
      </c>
    </row>
    <row r="7">
      <c r="A7" s="1" t="s">
        <v>89</v>
      </c>
      <c r="D7" s="2"/>
      <c r="E7" s="1">
        <v>1.0</v>
      </c>
      <c r="F7" s="2">
        <f t="shared" si="1"/>
        <v>0</v>
      </c>
    </row>
    <row r="8">
      <c r="A8" s="1" t="s">
        <v>90</v>
      </c>
      <c r="B8" s="1" t="s">
        <v>91</v>
      </c>
      <c r="C8" s="35" t="s">
        <v>92</v>
      </c>
      <c r="D8" s="38">
        <v>128.0</v>
      </c>
      <c r="E8" s="1">
        <v>1.0</v>
      </c>
      <c r="F8" s="2">
        <f t="shared" si="1"/>
        <v>128</v>
      </c>
    </row>
    <row r="9">
      <c r="A9" s="1" t="s">
        <v>93</v>
      </c>
      <c r="D9" s="2"/>
      <c r="E9" s="1">
        <v>1.0</v>
      </c>
      <c r="F9" s="2">
        <f t="shared" si="1"/>
        <v>0</v>
      </c>
    </row>
    <row r="10">
      <c r="A10" s="1" t="s">
        <v>94</v>
      </c>
      <c r="B10" s="1" t="s">
        <v>95</v>
      </c>
      <c r="D10" s="38">
        <v>399.0</v>
      </c>
      <c r="E10" s="1">
        <v>1.0</v>
      </c>
      <c r="F10" s="2">
        <f t="shared" si="1"/>
        <v>399</v>
      </c>
    </row>
    <row r="11">
      <c r="A11" s="1" t="s">
        <v>96</v>
      </c>
      <c r="C11" s="35" t="s">
        <v>97</v>
      </c>
      <c r="D11" s="38">
        <v>19.09</v>
      </c>
      <c r="E11" s="1">
        <v>2.0</v>
      </c>
      <c r="F11" s="2">
        <f t="shared" si="1"/>
        <v>38.18</v>
      </c>
    </row>
    <row r="12">
      <c r="A12" s="45" t="s">
        <v>98</v>
      </c>
      <c r="D12" s="46">
        <v>1169.09</v>
      </c>
      <c r="E12" s="1">
        <v>1.0</v>
      </c>
      <c r="F12" s="47">
        <f t="shared" si="1"/>
        <v>1169.09</v>
      </c>
    </row>
    <row r="13">
      <c r="D13" s="2"/>
    </row>
    <row r="14">
      <c r="D14" s="2"/>
    </row>
    <row r="15">
      <c r="D15" s="2"/>
      <c r="F15" s="2">
        <f>SUM(F2:F11)</f>
        <v>39983.54</v>
      </c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</sheetData>
  <hyperlinks>
    <hyperlink r:id="rId1" ref="C8"/>
    <hyperlink r:id="rId2" ref="C11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21.75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SUM(F2:F61)</f>
        <v>33273.62</v>
      </c>
    </row>
    <row r="2">
      <c r="A2" s="1" t="s">
        <v>99</v>
      </c>
      <c r="B2" s="1" t="s">
        <v>100</v>
      </c>
      <c r="D2" s="38">
        <v>8000.0</v>
      </c>
      <c r="E2" s="1">
        <v>1.0</v>
      </c>
      <c r="F2" s="2">
        <f t="shared" ref="F2:F11" si="1">D2*E2</f>
        <v>8000</v>
      </c>
    </row>
    <row r="3">
      <c r="A3" s="1" t="s">
        <v>101</v>
      </c>
      <c r="B3" s="1" t="s">
        <v>102</v>
      </c>
      <c r="C3" s="40" t="s">
        <v>103</v>
      </c>
      <c r="D3" s="38">
        <v>2399.99</v>
      </c>
      <c r="E3" s="1">
        <v>1.0</v>
      </c>
      <c r="F3" s="2">
        <f t="shared" si="1"/>
        <v>2399.99</v>
      </c>
    </row>
    <row r="4">
      <c r="A4" s="41">
        <v>111297.0</v>
      </c>
      <c r="B4" s="1" t="s">
        <v>104</v>
      </c>
      <c r="C4" s="35" t="s">
        <v>105</v>
      </c>
      <c r="D4" s="38">
        <v>17.98</v>
      </c>
      <c r="E4" s="1">
        <v>9.0</v>
      </c>
      <c r="F4" s="2">
        <f t="shared" si="1"/>
        <v>161.82</v>
      </c>
    </row>
    <row r="5">
      <c r="A5" s="1" t="s">
        <v>106</v>
      </c>
      <c r="B5" s="1" t="s">
        <v>107</v>
      </c>
      <c r="C5" s="35" t="s">
        <v>108</v>
      </c>
      <c r="D5" s="38">
        <v>415.0</v>
      </c>
      <c r="E5" s="1">
        <v>9.0</v>
      </c>
      <c r="F5" s="2">
        <f t="shared" si="1"/>
        <v>3735</v>
      </c>
    </row>
    <row r="6">
      <c r="A6" s="1" t="s">
        <v>109</v>
      </c>
      <c r="B6" s="1" t="s">
        <v>110</v>
      </c>
      <c r="C6" s="35" t="s">
        <v>111</v>
      </c>
      <c r="D6" s="38">
        <v>260.0</v>
      </c>
      <c r="E6" s="1">
        <v>9.0</v>
      </c>
      <c r="F6" s="2">
        <f t="shared" si="1"/>
        <v>2340</v>
      </c>
    </row>
    <row r="7">
      <c r="B7" s="1" t="s">
        <v>112</v>
      </c>
      <c r="D7" s="2"/>
      <c r="E7" s="1">
        <v>1.0</v>
      </c>
      <c r="F7" s="2">
        <f t="shared" si="1"/>
        <v>0</v>
      </c>
    </row>
    <row r="8">
      <c r="D8" s="2"/>
      <c r="E8" s="1">
        <v>1.0</v>
      </c>
      <c r="F8" s="2">
        <f t="shared" si="1"/>
        <v>0</v>
      </c>
    </row>
    <row r="9">
      <c r="D9" s="2"/>
      <c r="E9" s="1">
        <v>1.0</v>
      </c>
      <c r="F9" s="2">
        <f t="shared" si="1"/>
        <v>0</v>
      </c>
    </row>
    <row r="10">
      <c r="D10" s="2"/>
      <c r="E10" s="1">
        <v>1.0</v>
      </c>
      <c r="F10" s="2">
        <f t="shared" si="1"/>
        <v>0</v>
      </c>
    </row>
    <row r="11">
      <c r="D11" s="2"/>
      <c r="F11" s="2">
        <f t="shared" si="1"/>
        <v>0</v>
      </c>
    </row>
    <row r="12">
      <c r="D12" s="2"/>
    </row>
    <row r="13">
      <c r="D13" s="2"/>
      <c r="F13" s="2">
        <f>SUM(F2:F11)</f>
        <v>16636.81</v>
      </c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</sheetData>
  <hyperlinks>
    <hyperlink r:id="rId1" ref="C3"/>
    <hyperlink r:id="rId2" ref="C4"/>
    <hyperlink r:id="rId3" ref="C5"/>
    <hyperlink r:id="rId4" ref="C6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SUM(F2:F61)</f>
        <v>151.67</v>
      </c>
    </row>
    <row r="2">
      <c r="B2" s="1" t="s">
        <v>113</v>
      </c>
      <c r="C2" s="48" t="s">
        <v>114</v>
      </c>
      <c r="D2" s="38">
        <v>35.0</v>
      </c>
      <c r="E2" s="1">
        <v>1.0</v>
      </c>
      <c r="F2" s="2">
        <f t="shared" ref="F2:F3" si="1">D2*E2</f>
        <v>35</v>
      </c>
      <c r="L2" s="39"/>
    </row>
    <row r="3">
      <c r="B3" s="1" t="s">
        <v>115</v>
      </c>
      <c r="C3" s="40" t="s">
        <v>116</v>
      </c>
      <c r="D3" s="38">
        <v>8.49</v>
      </c>
      <c r="E3" s="1">
        <v>1.0</v>
      </c>
      <c r="F3" s="2">
        <f t="shared" si="1"/>
        <v>8.49</v>
      </c>
      <c r="L3" s="39"/>
    </row>
    <row r="4">
      <c r="A4" s="41"/>
      <c r="D4" s="38"/>
      <c r="L4" s="42"/>
    </row>
    <row r="5">
      <c r="B5" s="1" t="s">
        <v>117</v>
      </c>
      <c r="C5" s="40" t="s">
        <v>118</v>
      </c>
      <c r="D5" s="38">
        <v>22.99</v>
      </c>
      <c r="E5" s="1">
        <v>1.0</v>
      </c>
      <c r="F5" s="2">
        <f t="shared" ref="F5:F11" si="2">D5*E5</f>
        <v>22.99</v>
      </c>
      <c r="L5" s="39"/>
    </row>
    <row r="6">
      <c r="B6" s="1" t="s">
        <v>119</v>
      </c>
      <c r="C6" s="35" t="s">
        <v>120</v>
      </c>
      <c r="D6" s="38">
        <v>9.99</v>
      </c>
      <c r="E6" s="1">
        <v>1.0</v>
      </c>
      <c r="F6" s="2">
        <f t="shared" si="2"/>
        <v>9.99</v>
      </c>
      <c r="L6" s="39"/>
    </row>
    <row r="7">
      <c r="B7" s="1" t="s">
        <v>71</v>
      </c>
      <c r="C7" s="40" t="s">
        <v>72</v>
      </c>
      <c r="D7" s="38">
        <v>15.2</v>
      </c>
      <c r="E7" s="1">
        <v>1.0</v>
      </c>
      <c r="F7" s="2">
        <f t="shared" si="2"/>
        <v>15.2</v>
      </c>
      <c r="L7" s="42"/>
    </row>
    <row r="8">
      <c r="B8" s="1" t="s">
        <v>121</v>
      </c>
      <c r="C8" s="35" t="s">
        <v>122</v>
      </c>
      <c r="D8" s="38">
        <v>60.0</v>
      </c>
      <c r="E8" s="1">
        <v>1.0</v>
      </c>
      <c r="F8" s="2">
        <f t="shared" si="2"/>
        <v>60</v>
      </c>
    </row>
    <row r="9">
      <c r="D9" s="2"/>
      <c r="E9" s="1">
        <v>1.0</v>
      </c>
      <c r="F9" s="2">
        <f t="shared" si="2"/>
        <v>0</v>
      </c>
    </row>
    <row r="10">
      <c r="D10" s="2"/>
      <c r="E10" s="1">
        <v>1.0</v>
      </c>
      <c r="F10" s="2">
        <f t="shared" si="2"/>
        <v>0</v>
      </c>
    </row>
    <row r="11">
      <c r="D11" s="2"/>
      <c r="F11" s="2">
        <f t="shared" si="2"/>
        <v>0</v>
      </c>
    </row>
    <row r="12">
      <c r="D12" s="2"/>
    </row>
    <row r="13">
      <c r="D13" s="2"/>
    </row>
    <row r="14">
      <c r="D14" s="2"/>
    </row>
    <row r="15">
      <c r="D15" s="2"/>
    </row>
  </sheetData>
  <hyperlinks>
    <hyperlink r:id="rId1" ref="C2"/>
    <hyperlink r:id="rId2" ref="C3"/>
    <hyperlink r:id="rId3" ref="C5"/>
    <hyperlink r:id="rId4" ref="C6"/>
    <hyperlink r:id="rId5" ref="C7"/>
    <hyperlink r:id="rId6" ref="C8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2">
        <f>SUM(F2:F61)</f>
        <v>88.49</v>
      </c>
    </row>
    <row r="2">
      <c r="B2" s="1" t="s">
        <v>123</v>
      </c>
      <c r="C2" s="48" t="s">
        <v>124</v>
      </c>
      <c r="D2" s="38">
        <v>80.0</v>
      </c>
      <c r="E2" s="1">
        <v>1.0</v>
      </c>
      <c r="F2" s="2">
        <f t="shared" ref="F2:F11" si="1">D2*E2</f>
        <v>80</v>
      </c>
      <c r="L2" s="39"/>
    </row>
    <row r="3">
      <c r="B3" s="1" t="s">
        <v>115</v>
      </c>
      <c r="C3" s="40" t="s">
        <v>116</v>
      </c>
      <c r="D3" s="38">
        <v>8.49</v>
      </c>
      <c r="E3" s="1">
        <v>1.0</v>
      </c>
      <c r="F3" s="2">
        <f t="shared" si="1"/>
        <v>8.49</v>
      </c>
      <c r="L3" s="39"/>
    </row>
    <row r="4">
      <c r="A4" s="41"/>
      <c r="D4" s="38">
        <v>0.0</v>
      </c>
      <c r="E4" s="1">
        <v>1.0</v>
      </c>
      <c r="F4" s="2">
        <f t="shared" si="1"/>
        <v>0</v>
      </c>
      <c r="L4" s="42"/>
    </row>
    <row r="5">
      <c r="C5" s="43"/>
      <c r="D5" s="38">
        <v>0.0</v>
      </c>
      <c r="E5" s="1">
        <v>1.0</v>
      </c>
      <c r="F5" s="2">
        <f t="shared" si="1"/>
        <v>0</v>
      </c>
      <c r="L5" s="39"/>
    </row>
    <row r="6">
      <c r="D6" s="38">
        <v>0.0</v>
      </c>
      <c r="E6" s="1">
        <v>1.0</v>
      </c>
      <c r="F6" s="2">
        <f t="shared" si="1"/>
        <v>0</v>
      </c>
      <c r="L6" s="39"/>
    </row>
    <row r="7">
      <c r="C7" s="43"/>
      <c r="D7" s="38">
        <v>0.0</v>
      </c>
      <c r="E7" s="1">
        <v>1.0</v>
      </c>
      <c r="F7" s="2">
        <f t="shared" si="1"/>
        <v>0</v>
      </c>
      <c r="L7" s="42"/>
    </row>
    <row r="8">
      <c r="D8" s="38">
        <v>0.0</v>
      </c>
      <c r="E8" s="1">
        <v>1.0</v>
      </c>
      <c r="F8" s="2">
        <f t="shared" si="1"/>
        <v>0</v>
      </c>
    </row>
    <row r="9">
      <c r="D9" s="2"/>
      <c r="E9" s="1">
        <v>1.0</v>
      </c>
      <c r="F9" s="2">
        <f t="shared" si="1"/>
        <v>0</v>
      </c>
    </row>
    <row r="10">
      <c r="D10" s="2"/>
      <c r="E10" s="1">
        <v>1.0</v>
      </c>
      <c r="F10" s="2">
        <f t="shared" si="1"/>
        <v>0</v>
      </c>
    </row>
    <row r="11">
      <c r="D11" s="2"/>
      <c r="F11" s="2">
        <f t="shared" si="1"/>
        <v>0</v>
      </c>
    </row>
    <row r="12">
      <c r="D12" s="2"/>
    </row>
    <row r="13">
      <c r="D13" s="2"/>
    </row>
    <row r="14">
      <c r="D14" s="2"/>
    </row>
    <row r="15">
      <c r="D15" s="2"/>
    </row>
  </sheetData>
  <hyperlinks>
    <hyperlink r:id="rId1" ref="C2"/>
    <hyperlink r:id="rId2" ref="C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2.0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3">
        <f>SUM(F2:F61)</f>
        <v>9324.57</v>
      </c>
    </row>
    <row r="2">
      <c r="A2" s="1" t="s">
        <v>125</v>
      </c>
      <c r="B2" s="1" t="s">
        <v>126</v>
      </c>
      <c r="D2" s="49">
        <v>1790.01</v>
      </c>
      <c r="E2" s="1">
        <v>2.0</v>
      </c>
      <c r="F2" s="3">
        <f t="shared" ref="F2:F31" si="1">D2*E2</f>
        <v>3580.02</v>
      </c>
    </row>
    <row r="3">
      <c r="A3" s="1"/>
      <c r="B3" s="1" t="s">
        <v>127</v>
      </c>
      <c r="E3" s="1">
        <v>2.0</v>
      </c>
      <c r="F3" s="47">
        <f t="shared" si="1"/>
        <v>0</v>
      </c>
    </row>
    <row r="4">
      <c r="A4" s="1"/>
      <c r="B4" s="1" t="s">
        <v>128</v>
      </c>
      <c r="E4" s="1">
        <v>1.0</v>
      </c>
      <c r="F4" s="47">
        <f t="shared" si="1"/>
        <v>0</v>
      </c>
    </row>
    <row r="5">
      <c r="A5" s="1" t="s">
        <v>129</v>
      </c>
      <c r="B5" s="1" t="s">
        <v>130</v>
      </c>
      <c r="C5" s="35" t="s">
        <v>131</v>
      </c>
      <c r="D5" s="49">
        <v>149.95</v>
      </c>
      <c r="E5" s="1">
        <v>2.0</v>
      </c>
      <c r="F5" s="3">
        <f t="shared" si="1"/>
        <v>299.9</v>
      </c>
    </row>
    <row r="6">
      <c r="A6" s="1" t="s">
        <v>132</v>
      </c>
      <c r="B6" s="1" t="s">
        <v>133</v>
      </c>
      <c r="C6" s="32" t="s">
        <v>134</v>
      </c>
      <c r="D6" s="49">
        <v>287.73</v>
      </c>
      <c r="E6" s="1">
        <v>2.0</v>
      </c>
      <c r="F6" s="3">
        <f t="shared" si="1"/>
        <v>575.46</v>
      </c>
    </row>
    <row r="7">
      <c r="A7" s="1" t="s">
        <v>135</v>
      </c>
      <c r="B7" s="1" t="s">
        <v>135</v>
      </c>
      <c r="E7" s="1">
        <v>1.0</v>
      </c>
      <c r="F7" s="47">
        <f t="shared" si="1"/>
        <v>0</v>
      </c>
    </row>
    <row r="8">
      <c r="A8" s="1" t="s">
        <v>136</v>
      </c>
      <c r="E8" s="1">
        <v>1.0</v>
      </c>
      <c r="F8" s="47">
        <f t="shared" si="1"/>
        <v>0</v>
      </c>
    </row>
    <row r="9">
      <c r="A9" s="1" t="s">
        <v>137</v>
      </c>
      <c r="B9" s="1" t="s">
        <v>138</v>
      </c>
      <c r="C9" s="35" t="s">
        <v>139</v>
      </c>
      <c r="D9" s="1">
        <v>423.75</v>
      </c>
      <c r="E9" s="1">
        <v>2.0</v>
      </c>
      <c r="F9" s="47">
        <f t="shared" si="1"/>
        <v>847.5</v>
      </c>
    </row>
    <row r="10">
      <c r="A10" s="1" t="s">
        <v>140</v>
      </c>
      <c r="B10" s="1" t="s">
        <v>141</v>
      </c>
      <c r="C10" s="35" t="s">
        <v>142</v>
      </c>
      <c r="D10" s="1">
        <v>337.69</v>
      </c>
      <c r="E10" s="1">
        <v>1.0</v>
      </c>
      <c r="F10" s="47">
        <f t="shared" si="1"/>
        <v>337.69</v>
      </c>
    </row>
    <row r="11">
      <c r="F11" s="47">
        <f t="shared" si="1"/>
        <v>0</v>
      </c>
    </row>
    <row r="12">
      <c r="A12" s="1" t="s">
        <v>143</v>
      </c>
      <c r="B12" s="1" t="s">
        <v>144</v>
      </c>
      <c r="D12" s="49">
        <v>2999.99</v>
      </c>
      <c r="E12" s="1">
        <v>1.0</v>
      </c>
      <c r="F12" s="3">
        <f t="shared" si="1"/>
        <v>2999.99</v>
      </c>
      <c r="G12" s="1" t="s">
        <v>145</v>
      </c>
    </row>
    <row r="13">
      <c r="F13" s="47">
        <f t="shared" si="1"/>
        <v>0</v>
      </c>
    </row>
    <row r="14">
      <c r="F14" s="47">
        <f t="shared" si="1"/>
        <v>0</v>
      </c>
    </row>
    <row r="15">
      <c r="A15" s="1" t="s">
        <v>146</v>
      </c>
      <c r="F15" s="47">
        <f t="shared" si="1"/>
        <v>0</v>
      </c>
    </row>
    <row r="16">
      <c r="A16" s="1" t="s">
        <v>147</v>
      </c>
      <c r="F16" s="47">
        <f t="shared" si="1"/>
        <v>0</v>
      </c>
    </row>
    <row r="17">
      <c r="A17" s="1" t="s">
        <v>148</v>
      </c>
      <c r="B17" s="1" t="s">
        <v>149</v>
      </c>
      <c r="D17" s="49">
        <v>4.0</v>
      </c>
      <c r="E17" s="1">
        <v>3.0</v>
      </c>
      <c r="F17" s="3">
        <f t="shared" si="1"/>
        <v>12</v>
      </c>
      <c r="G17" s="1" t="s">
        <v>150</v>
      </c>
    </row>
    <row r="18">
      <c r="A18" s="1" t="s">
        <v>151</v>
      </c>
      <c r="B18" s="1" t="s">
        <v>152</v>
      </c>
      <c r="C18" s="32" t="s">
        <v>153</v>
      </c>
      <c r="D18" s="49">
        <v>324.5</v>
      </c>
      <c r="E18" s="1">
        <v>1.0</v>
      </c>
      <c r="F18" s="3">
        <f t="shared" si="1"/>
        <v>324.5</v>
      </c>
    </row>
    <row r="19">
      <c r="B19" s="1" t="s">
        <v>154</v>
      </c>
      <c r="C19" s="32" t="s">
        <v>155</v>
      </c>
      <c r="D19" s="49">
        <v>347.51</v>
      </c>
      <c r="E19" s="1">
        <v>1.0</v>
      </c>
      <c r="F19" s="3">
        <f t="shared" si="1"/>
        <v>347.51</v>
      </c>
    </row>
    <row r="20">
      <c r="B20" s="1" t="s">
        <v>156</v>
      </c>
      <c r="E20" s="1">
        <v>1.0</v>
      </c>
      <c r="F20" s="47">
        <f t="shared" si="1"/>
        <v>0</v>
      </c>
    </row>
    <row r="21">
      <c r="F21" s="47">
        <f t="shared" si="1"/>
        <v>0</v>
      </c>
    </row>
    <row r="22">
      <c r="F22" s="47">
        <f t="shared" si="1"/>
        <v>0</v>
      </c>
    </row>
    <row r="23">
      <c r="F23" s="47">
        <f t="shared" si="1"/>
        <v>0</v>
      </c>
    </row>
    <row r="24">
      <c r="F24" s="47">
        <f t="shared" si="1"/>
        <v>0</v>
      </c>
    </row>
    <row r="25">
      <c r="F25" s="47">
        <f t="shared" si="1"/>
        <v>0</v>
      </c>
    </row>
    <row r="26">
      <c r="F26" s="47">
        <f t="shared" si="1"/>
        <v>0</v>
      </c>
    </row>
    <row r="27">
      <c r="F27" s="47">
        <f t="shared" si="1"/>
        <v>0</v>
      </c>
    </row>
    <row r="28">
      <c r="F28" s="47">
        <f t="shared" si="1"/>
        <v>0</v>
      </c>
    </row>
    <row r="29">
      <c r="F29" s="47">
        <f t="shared" si="1"/>
        <v>0</v>
      </c>
    </row>
    <row r="30">
      <c r="F30" s="47">
        <f t="shared" si="1"/>
        <v>0</v>
      </c>
    </row>
    <row r="31">
      <c r="F31" s="47">
        <f t="shared" si="1"/>
        <v>0</v>
      </c>
    </row>
  </sheetData>
  <hyperlinks>
    <hyperlink r:id="rId1" ref="C5"/>
    <hyperlink r:id="rId2" ref="C6"/>
    <hyperlink r:id="rId3" ref="C9"/>
    <hyperlink r:id="rId4" ref="C10"/>
    <hyperlink r:id="rId5" ref="C18"/>
    <hyperlink r:id="rId6" ref="C19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  <c r="G1" s="1" t="s">
        <v>16</v>
      </c>
      <c r="I1" s="1" t="s">
        <v>17</v>
      </c>
      <c r="J1" s="47">
        <f>SUM(F2:F61)</f>
        <v>0</v>
      </c>
    </row>
  </sheetData>
  <drawing r:id="rId1"/>
</worksheet>
</file>